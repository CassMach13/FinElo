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261b98c77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 aqui" sheetId="1" r:id="R112b603e54da475c"/>
    <x:sheet xmlns:r="http://schemas.openxmlformats.org/officeDocument/2006/relationships" name="Roteiro" sheetId="2" r:id="Re055b495e10b4274"/>
    <x:sheet xmlns:r="http://schemas.openxmlformats.org/officeDocument/2006/relationships" name="Dados esperados" sheetId="3" r:id="R923555c9836842dc"/>
    <x:sheet xmlns:r="http://schemas.openxmlformats.org/officeDocument/2006/relationships" name="Riscos e rollback" sheetId="4" r:id="R70e4a6b640a7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R$&quot; #,##0.00;[Red](&quot;R$&quot; #,##0.00);-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991B1B"/>
      <x:name val="Carlito"/>
    </x:font>
    <x:font>
      <x:b/>
      <x:sz val="18"/>
      <x:color rgb="FFFFFFFF"/>
      <x:name val="Carlito"/>
    </x:font>
    <x:font>
      <x:b/>
      <x:sz val="11"/>
      <x:color rgb="FF92400E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FEE2E2"/>
      </x:patternFill>
    </x:fill>
    <x:fill>
      <x:patternFill patternType="solid">
        <x:fgColor rgb="FF06B6D4"/>
      </x:patternFill>
    </x:fill>
    <x:fill>
      <x:patternFill patternType="solid">
        <x:fgColor rgb="FFFEF3C7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305edf7724661" /><Relationship Type="http://schemas.openxmlformats.org/officeDocument/2006/relationships/theme" Target="/xl/theme/theme1.xml" Id="R6918137169f54cda" /><Relationship Type="http://schemas.openxmlformats.org/officeDocument/2006/relationships/sharedStrings" Target="/xl/sharedStrings.xml" Id="Rabbd094a252f45b8" /><Relationship Type="http://schemas.openxmlformats.org/officeDocument/2006/relationships/worksheet" Target="/xl/worksheets/sheet1.xml" Id="R112b603e54da475c" /><Relationship Type="http://schemas.openxmlformats.org/officeDocument/2006/relationships/worksheet" Target="/xl/worksheets/sheet2.xml" Id="Re055b495e10b4274" /><Relationship Type="http://schemas.openxmlformats.org/officeDocument/2006/relationships/worksheet" Target="/xl/worksheets/sheet3.xml" Id="R923555c9836842dc" /><Relationship Type="http://schemas.openxmlformats.org/officeDocument/2006/relationships/worksheet" Target="/xl/worksheets/sheet4.xml" Id="R70e4a6b640a744f6" /></Relationships>
</file>

<file path=xl/tables/table1.xml><?xml version="1.0" encoding="utf-8"?>
<x:table xmlns:x="http://schemas.openxmlformats.org/spreadsheetml/2006/main" id="1" name="RoteiroTable" displayName="RoteiroTable" ref="A5:I35" headerRowCount="1" totalsRowCount="0" totalsRowShown="0">
  <x:tableColumns count="9">
    <x:tableColumn id="1" name="ID"/>
    <x:tableColumn id="2" name="Ordem"/>
    <x:tableColumn id="3" name="Área"/>
    <x:tableColumn id="4" name="Criticidade"/>
    <x:tableColumn id="5" name="Procedimento"/>
    <x:tableColumn id="6" name="Arquivo/Dado"/>
    <x:tableColumn id="7" name="Resultado esperado"/>
    <x:tableColumn id="8" name="Status"/>
    <x:tableColumn id="9" name="Evidência/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ctedDataTable" displayName="ExpectedDataTable" ref="A4:J11" headerRowCount="1" totalsRowCount="0" totalsRowShown="0">
  <x:tableColumns count="10">
    <x:tableColumn id="1" name="Arquivo"/>
    <x:tableColumn id="2" name="Linhas válidas"/>
    <x:tableColumn id="3" name="Receitas/créditos"/>
    <x:tableColumn id="4" name="Despesas/compras"/>
    <x:tableColumn id="5" name="Estornos"/>
    <x:tableColumn id="6" name="Pagamentos"/>
    <x:tableColumn id="7" name="Líquido caixa"/>
    <x:tableColumn id="8" name="Total fatura"/>
    <x:tableColumn id="9" name="Uso"/>
    <x:tableColumn id="10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F11" headerRowCount="1" totalsRowCount="0" totalsRowShown="0">
  <x:tableColumns count="6">
    <x:tableColumn id="1" name="Risco"/>
    <x:tableColumn id="2" name="Severidade"/>
    <x:tableColumn id="3" name="Sinal de parada"/>
    <x:tableColumn id="4" name="Proteção"/>
    <x:tableColumn id="5" name="Rollback"/>
    <x:tableColumn id="6" name="Aprovação necessá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5bf64ee031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6fec96d722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9139d9b933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</x:cols>
  <x:sheetData>
    <x:row r="1">
      <x:c r="A1" s="15" t="str">
        <x:v>FinElo — Homologação segura no staging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6"/>
      <x:c r="B3" s="16"/>
      <x:c r="C3" s="16"/>
      <x:c r="D3" s="16"/>
      <x:c r="E3" s="16"/>
      <x:c r="F3" s="16"/>
      <x:c r="G3" s="16"/>
      <x:c r="H3" s="16"/>
    </x:row>
    <x:row r="4">
      <x:c r="A4" s="17" t="str">
        <x:v>Ambiente autorizado</x:v>
      </x:c>
      <x:c r="B4" s="18" t="str">
        <x:v>Somente staging — sxmmrnwbxntccscojmfh</x:v>
      </x:c>
      <x:c r="C4" s="16"/>
      <x:c r="D4" s="16"/>
      <x:c r="E4" s="16"/>
      <x:c r="F4" s="16"/>
      <x:c r="G4" s="16"/>
      <x:c r="H4" s="16"/>
    </x:row>
    <x:row r="5">
      <x:c r="A5" s="17" t="str">
        <x:v>Aplicação</x:v>
      </x:c>
      <x:c r="B5" s="18" t="str">
        <x:v>https://finelo-br-git-codex-sprint-0-s-24220f-cassios-projects-a7e9d592.vercel.app</x:v>
      </x:c>
      <x:c r="C5" s="16"/>
      <x:c r="D5" s="16"/>
      <x:c r="E5" s="16"/>
      <x:c r="F5" s="16"/>
      <x:c r="G5" s="16"/>
      <x:c r="H5" s="16"/>
    </x:row>
    <x:row r="6">
      <x:c r="A6" s="17" t="str">
        <x:v>Prefixo obrigatório</x:v>
      </x:c>
      <x:c r="B6" s="18" t="str">
        <x:v>STG-QA</x:v>
      </x:c>
      <x:c r="C6" s="16"/>
      <x:c r="D6" s="16"/>
      <x:c r="E6" s="16"/>
      <x:c r="F6" s="16"/>
      <x:c r="G6" s="16"/>
      <x:c r="H6" s="16"/>
    </x:row>
    <x:row r="7">
      <x:c r="A7" s="17" t="str">
        <x:v>Dados de produção</x:v>
      </x:c>
      <x:c r="B7" s="18" t="str">
        <x:v>PROIBIDO copiar ou importar</x:v>
      </x:c>
      <x:c r="C7" s="16"/>
      <x:c r="D7" s="16"/>
      <x:c r="E7" s="16"/>
      <x:c r="F7" s="16"/>
      <x:c r="G7" s="16"/>
      <x:c r="H7" s="16"/>
    </x:row>
    <x:row r="8">
      <x:c r="A8" s="17" t="str">
        <x:v>Ordem de execução</x:v>
      </x:c>
      <x:c r="B8" s="18" t="str">
        <x:v>Seguir a coluna Ordem da aba Roteiro</x:v>
      </x:c>
      <x:c r="C8" s="16"/>
      <x:c r="D8" s="16"/>
      <x:c r="E8" s="16"/>
      <x:c r="F8" s="16"/>
      <x:c r="G8" s="16"/>
      <x:c r="H8" s="16"/>
    </x:row>
    <x:row r="9">
      <x:c r="A9" s="17" t="str">
        <x:v>Evidências</x:v>
      </x:c>
      <x:c r="B9" s="18" t="str">
        <x:v>Capturar tela antes/depois e registrar na coluna Evidência</x:v>
      </x:c>
      <x:c r="C9" s="16"/>
      <x:c r="D9" s="16"/>
      <x:c r="E9" s="16"/>
      <x:c r="F9" s="16"/>
      <x:c r="G9" s="16"/>
      <x:c r="H9" s="16"/>
    </x:row>
    <x:row r="10">
      <x:c r="A10" s="17" t="str">
        <x:v>Falha grave</x:v>
      </x:c>
      <x:c r="B10" s="18" t="str">
        <x:v>Parar imediatamente; não repetir nem tentar corrigir em produção</x:v>
      </x:c>
      <x:c r="C10" s="16"/>
      <x:c r="D10" s="16"/>
      <x:c r="E10" s="16"/>
      <x:c r="F10" s="16"/>
      <x:c r="G10" s="16"/>
      <x:c r="H10" s="16"/>
    </x:row>
    <x:row r="11">
      <x:c r="A11" s="17" t="str">
        <x:v>Limpeza</x:v>
      </x:c>
      <x:c r="B11" s="18" t="str">
        <x:v>Somente após contagem prévia e aprovação explícita</x:v>
      </x:c>
      <x:c r="C11" s="16"/>
      <x:c r="D11" s="16"/>
      <x:c r="E11" s="16"/>
      <x:c r="F11" s="16"/>
      <x:c r="G11" s="16"/>
      <x:c r="H11" s="16"/>
    </x:row>
    <x:row r="12">
      <x:c r="A12" s="16"/>
      <x:c r="B12" s="16"/>
      <x:c r="C12" s="16"/>
      <x:c r="D12" s="16"/>
      <x:c r="E12" s="16"/>
      <x:c r="F12" s="16"/>
      <x:c r="G12" s="16"/>
      <x:c r="H12" s="16"/>
    </x:row>
    <x:row r="13">
      <x:c r="A13" s="11" t="str">
        <x:v>REGRA DE OURO: se aparecer qualquer referência ao projeto de produção xotxxxohcmivyzswyjtm, interrompa o teste.</x:v>
      </x:c>
      <x:c r="B13" s="11"/>
      <x:c r="C13" s="11"/>
      <x:c r="D13" s="11"/>
      <x:c r="E13" s="11"/>
      <x:c r="F13" s="11"/>
      <x:c r="G13" s="11"/>
      <x:c r="H13" s="11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>
      <x:c r="A15" s="19" t="str">
        <x:v>Indicador</x:v>
      </x:c>
      <x:c r="B15" s="19" t="str">
        <x:v>Resultado</x:v>
      </x:c>
      <x:c r="C15" s="16"/>
      <x:c r="D15" s="16"/>
      <x:c r="E15" s="16"/>
      <x:c r="F15" s="16"/>
      <x:c r="G15" s="16"/>
      <x:c r="H15" s="16"/>
    </x:row>
    <x:row r="16">
      <x:c r="A16" s="16" t="str">
        <x:v>Casos aprovados</x:v>
      </x:c>
      <x:c r="B16" s="16" t="n">
        <x:f>COUNTIF('Roteiro'!$H$6:$H$35,"Aprovado")</x:f>
        <x:v>3</x:v>
      </x:c>
      <x:c r="C16" s="16"/>
      <x:c r="D16" s="16"/>
      <x:c r="E16" s="16"/>
      <x:c r="F16" s="16"/>
      <x:c r="G16" s="16"/>
      <x:c r="H16" s="16"/>
    </x:row>
    <x:row r="17">
      <x:c r="A17" s="16" t="str">
        <x:v>Casos executáveis</x:v>
      </x:c>
      <x:c r="B17" s="16" t="n">
        <x:f>COUNTA('Roteiro'!$A$6:$A$35)</x:f>
        <x:v>30</x:v>
      </x:c>
      <x:c r="C17" s="16"/>
      <x:c r="D17" s="16"/>
      <x:c r="E17" s="16"/>
      <x:c r="F17" s="16"/>
      <x:c r="G17" s="16"/>
      <x:c r="H17" s="16"/>
    </x:row>
    <x:row r="18">
      <x:c r="A18" s="16" t="str">
        <x:v>Percentual aprovado</x:v>
      </x:c>
      <x:c r="B18" s="20" t="n">
        <x:f>IF(B17=0,0,B16/B17)</x:f>
        <x:v>0.1</x:v>
      </x:c>
      <x:c r="C18" s="16"/>
      <x:c r="D18" s="16"/>
      <x:c r="E18" s="16"/>
      <x:c r="F18" s="16"/>
      <x:c r="G18" s="16"/>
      <x:c r="H18" s="16"/>
    </x:row>
  </x:sheetData>
  <x:mergeCells>
    <x:mergeCell ref="A1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22" hidden="0" customWidth="1"/>
    <x:col min="4" max="4" width="13" hidden="0" customWidth="1"/>
    <x:col min="5" max="5" width="52" hidden="0" customWidth="1"/>
    <x:col min="6" max="6" width="42" hidden="0" customWidth="1"/>
    <x:col min="7" max="7" width="58" hidden="0" customWidth="1"/>
    <x:col min="8" max="8" width="15" hidden="0" customWidth="1"/>
    <x:col min="9" max="9" width="42" hidden="0" customWidth="1"/>
  </x:cols>
  <x:sheetData>
    <x:row r="1">
      <x:c r="A1" s="22" t="str">
        <x:v>Roteiro de homologação funcional e adversarial</x:v>
      </x:c>
      <x:c r="B1" s="22"/>
      <x:c r="C1" s="22"/>
      <x:c r="D1" s="22"/>
      <x:c r="E1" s="22"/>
      <x:c r="F1" s="22"/>
      <x:c r="G1" s="22"/>
      <x:c r="H1" s="22"/>
      <x:c r="I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</x:row>
    <x:row r="3">
      <x:c r="A3" s="24" t="str">
        <x:v>Preencha Status e Evidência. Pare imediatamente em qualquer falha Crítica.</x:v>
      </x:c>
      <x:c r="B3" s="24"/>
      <x:c r="C3" s="24"/>
      <x:c r="D3" s="24"/>
      <x:c r="E3" s="24"/>
      <x:c r="F3" s="24"/>
      <x:c r="G3" s="24"/>
      <x:c r="H3" s="24"/>
      <x:c r="I3" s="24"/>
    </x:row>
    <x:row r="5">
      <x:c r="A5" s="19" t="str">
        <x:v>ID</x:v>
      </x:c>
      <x:c r="B5" s="19" t="str">
        <x:v>Ordem</x:v>
      </x:c>
      <x:c r="C5" s="19" t="str">
        <x:v>Área</x:v>
      </x:c>
      <x:c r="D5" s="19" t="str">
        <x:v>Criticidade</x:v>
      </x:c>
      <x:c r="E5" s="19" t="str">
        <x:v>Procedimento</x:v>
      </x:c>
      <x:c r="F5" s="19" t="str">
        <x:v>Arquivo/Dado</x:v>
      </x:c>
      <x:c r="G5" s="19" t="str">
        <x:v>Resultado esperado</x:v>
      </x:c>
      <x:c r="H5" s="19" t="str">
        <x:v>Status</x:v>
      </x:c>
      <x:c r="I5" s="19" t="str">
        <x:v>Evidência/observação</x:v>
      </x:c>
    </x:row>
    <x:row r="6">
      <x:c r="A6" s="16" t="str">
        <x:v>ENV-01</x:v>
      </x:c>
      <x:c r="B6" s="16" t="n">
        <x:v>1</x:v>
      </x:c>
      <x:c r="C6" s="16" t="str">
        <x:v>Ambiente</x:v>
      </x:c>
      <x:c r="D6" s="16" t="str">
        <x:v>Crítica</x:v>
      </x:c>
      <x:c r="E6" s="16" t="str">
        <x:v>Confirmar que a URL contém o alias de staging e que o Supabase é sxmmrnwbxntccscojmfh.</x:v>
      </x:c>
      <x:c r="F6" s="16" t="str">
        <x:v>Sem arquivo</x:v>
      </x:c>
      <x:c r="G6" s="16" t="str">
        <x:v>Nenhuma referência à produção; teste continua.</x:v>
      </x:c>
      <x:c r="H6" s="16" t="str">
        <x:v>Aprovado</x:v>
      </x:c>
      <x:c r="I6" s="16" t="str">
        <x:v>Isolamento validado na Sprint 0.</x:v>
      </x:c>
    </x:row>
    <x:row r="7">
      <x:c r="A7" s="16" t="str">
        <x:v>AUTH-01</x:v>
      </x:c>
      <x:c r="B7" s="16" t="n">
        <x:v>2</x:v>
      </x:c>
      <x:c r="C7" s="16" t="str">
        <x:v>Autenticação</x:v>
      </x:c>
      <x:c r="D7" s="16" t="str">
        <x:v>Crítica</x:v>
      </x:c>
      <x:c r="E7" s="16" t="str">
        <x:v>Entrar com a conta demo criada no staging.</x:v>
      </x:c>
      <x:c r="F7" s="16" t="str">
        <x:v>Conta demo</x:v>
      </x:c>
      <x:c r="G7" s="16" t="str">
        <x:v>Login concluído e painel carregado.</x:v>
      </x:c>
      <x:c r="H7" s="16" t="str">
        <x:v>Aprovado</x:v>
      </x:c>
      <x:c r="I7" s="16" t="str">
        <x:v>Validado pelo proprietário em 30/07/2026.</x:v>
      </x:c>
    </x:row>
    <x:row r="8">
      <x:c r="A8" s="16" t="str">
        <x:v>AUTH-02</x:v>
      </x:c>
      <x:c r="B8" s="16" t="n">
        <x:v>3</x:v>
      </x:c>
      <x:c r="C8" s="16" t="str">
        <x:v>Autenticação</x:v>
      </x:c>
      <x:c r="D8" s="16" t="str">
        <x:v>Alta</x:v>
      </x:c>
      <x:c r="E8" s="16" t="str">
        <x:v>Confirmar que as duas tentativas de cadastro permanecem separadas. Não excluir usuários.</x:v>
      </x:c>
      <x:c r="F8" s="16" t="str">
        <x:v>Sem arquivo</x:v>
      </x:c>
      <x:c r="G8" s="16" t="str">
        <x:v>Dois registros preservados; nenhuma limpeza sem escolha explícita.</x:v>
      </x:c>
      <x:c r="H8" s="16" t="str">
        <x:v>Aprovado</x:v>
      </x:c>
      <x:c r="I8" s="16" t="str">
        <x:v>Duas tentativas confirmadas pelo proprietário em 30/07/2026.</x:v>
      </x:c>
    </x:row>
    <x:row r="9">
      <x:c r="A9" s="16" t="str">
        <x:v>SETUP-01</x:v>
      </x:c>
      <x:c r="B9" s="16" t="n">
        <x:v>4</x:v>
      </x:c>
      <x:c r="C9" s="16" t="str">
        <x:v>Preparação</x:v>
      </x:c>
      <x:c r="D9" s="16" t="str">
        <x:v>Alta</x:v>
      </x:c>
      <x:c r="E9" s="16" t="str">
        <x:v>Criar categorias STG-QA Alimentação, STG-QA Moradia, STG-QA Transporte e STG-QA Receita.</x:v>
      </x:c>
      <x:c r="F9" s="16" t="str">
        <x:v>Cadastro manual</x:v>
      </x:c>
      <x:c r="G9" s="16" t="str">
        <x:v>Quatro categorias visíveis somente na conta demo.</x:v>
      </x:c>
      <x:c r="H9" s="16" t="str">
        <x:v>Pendente</x:v>
      </x:c>
      <x:c r="I9" s="16" t="str"/>
    </x:row>
    <x:row r="10">
      <x:c r="A10" s="16" t="str">
        <x:v>SETUP-02</x:v>
      </x:c>
      <x:c r="B10" s="16" t="n">
        <x:v>5</x:v>
      </x:c>
      <x:c r="C10" s="16" t="str">
        <x:v>Preparação</x:v>
      </x:c>
      <x:c r="D10" s="16" t="str">
        <x:v>Crítica</x:v>
      </x:c>
      <x:c r="E10" s="16" t="str">
        <x:v>Criar conta corrente STG-QA Conta Nubank com saldo inicial R$ 1.000,00 em 30/06/2026.</x:v>
      </x:c>
      <x:c r="F10" s="16" t="str">
        <x:v>Cadastro manual</x:v>
      </x:c>
      <x:c r="G10" s="16" t="str">
        <x:v>Conta criada com banco NuBank e saldo inicial correto.</x:v>
      </x:c>
      <x:c r="H10" s="16" t="str">
        <x:v>Pendente</x:v>
      </x:c>
      <x:c r="I10" s="16" t="str"/>
    </x:row>
    <x:row r="11">
      <x:c r="A11" s="16" t="str">
        <x:v>SETUP-03</x:v>
      </x:c>
      <x:c r="B11" s="16" t="n">
        <x:v>6</x:v>
      </x:c>
      <x:c r="C11" s="16" t="str">
        <x:v>Preparação</x:v>
      </x:c>
      <x:c r="D11" s="16" t="str">
        <x:v>Crítica</x:v>
      </x:c>
      <x:c r="E11" s="16" t="str">
        <x:v>Criar cartão STG-QA Cartão XP; limite R$ 5.000, fechamento dia 20 e vencimento dia 28.</x:v>
      </x:c>
      <x:c r="F11" s="16" t="str">
        <x:v>Cadastro manual</x:v>
      </x:c>
      <x:c r="G11" s="16" t="str">
        <x:v>Cartão criado sem alterar outras contas.</x:v>
      </x:c>
      <x:c r="H11" s="16" t="str">
        <x:v>Pendente</x:v>
      </x:c>
      <x:c r="I11" s="16" t="str"/>
    </x:row>
    <x:row r="12">
      <x:c r="A12" s="16" t="str">
        <x:v>BASIC-01</x:v>
      </x:c>
      <x:c r="B12" s="16" t="n">
        <x:v>7</x:v>
      </x:c>
      <x:c r="C12" s="16" t="str">
        <x:v>Plano Basic</x:v>
      </x:c>
      <x:c r="D12" s="16" t="str">
        <x:v>Alta</x:v>
      </x:c>
      <x:c r="E12" s="16" t="str">
        <x:v>Importar o arquivo base na conta corrente usando o importador nativo NuBank.</x:v>
      </x:c>
      <x:c r="F12" s="16" t="str">
        <x:v>01_nubank_conta_base_julho_2026.csv</x:v>
      </x:c>
      <x:c r="G12" s="16" t="str">
        <x:v>10 transações; receitas R$ 5.450,00; despesas R$ 2.044,60; líquido R$ 3.405,40.</x:v>
      </x:c>
      <x:c r="H12" s="16" t="str">
        <x:v>Pendente</x:v>
      </x:c>
      <x:c r="I12" s="16" t="str"/>
    </x:row>
    <x:row r="13">
      <x:c r="A13" s="16" t="str">
        <x:v>BASIC-02</x:v>
      </x:c>
      <x:c r="B13" s="16" t="n">
        <x:v>8</x:v>
      </x:c>
      <x:c r="C13" s="16" t="str">
        <x:v>Plano Basic</x:v>
      </x:c>
      <x:c r="D13" s="16" t="str">
        <x:v>Alta</x:v>
      </x:c>
      <x:c r="E13" s="16" t="str">
        <x:v>Tentar uma segunda importação no mesmo mês antes de qualquer liberação de teste.</x:v>
      </x:c>
      <x:c r="F13" s="16" t="str">
        <x:v>02_nubank_conta_mesmos_valores_agosto_2026.csv</x:v>
      </x:c>
      <x:c r="G13" s="16" t="str">
        <x:v>Plano gratuito bloqueia de forma clara e nenhuma linha adicional é gravada.</x:v>
      </x:c>
      <x:c r="H13" s="16" t="str">
        <x:v>Pendente</x:v>
      </x:c>
      <x:c r="I13" s="16" t="str"/>
    </x:row>
    <x:row r="14">
      <x:c r="A14" s="16" t="str">
        <x:v>GATE-01</x:v>
      </x:c>
      <x:c r="B14" s="16" t="n">
        <x:v>9</x:v>
      </x:c>
      <x:c r="C14" s="16" t="str">
        <x:v>Portão</x:v>
      </x:c>
      <x:c r="D14" s="16" t="str">
        <x:v>Crítica</x:v>
      </x:c>
      <x:c r="E14" s="16" t="str">
        <x:v>Parar e solicitar ao desenvolvedor a liberação temporária do plano somente para a conta demo no staging.</x:v>
      </x:c>
      <x:c r="F14" s="16" t="str">
        <x:v>Sem arquivo</x:v>
      </x:c>
      <x:c r="G14" s="16" t="str">
        <x:v>Liberação registrada com user_id exato, contagens antes/depois e rollback preparado.</x:v>
      </x:c>
      <x:c r="H14" s="16" t="str">
        <x:v>Pendente</x:v>
      </x:c>
      <x:c r="I14" s="16" t="str">
        <x:v>Não avançar sem aprovação explícita.</x:v>
      </x:c>
    </x:row>
    <x:row r="15">
      <x:c r="A15" s="16" t="str">
        <x:v>MAN-01</x:v>
      </x:c>
      <x:c r="B15" s="16" t="n">
        <x:v>10</x:v>
      </x:c>
      <x:c r="C15" s="16" t="str">
        <x:v>Transação manual</x:v>
      </x:c>
      <x:c r="D15" s="16" t="str">
        <x:v>Alta</x:v>
      </x:c>
      <x:c r="E15" s="16" t="str">
        <x:v>Criar duas despesas de R$ 35,00 com mesma descrição STG-QA Café, mas em datas diferentes.</x:v>
      </x:c>
      <x:c r="F15" s="16" t="str">
        <x:v>Cadastro manual</x:v>
      </x:c>
      <x:c r="G15" s="16" t="str">
        <x:v>As duas transações permanecem; nenhuma é tratada como duplicada.</x:v>
      </x:c>
      <x:c r="H15" s="16" t="str">
        <x:v>Pendente</x:v>
      </x:c>
      <x:c r="I15" s="16" t="str"/>
    </x:row>
    <x:row r="16">
      <x:c r="A16" s="16" t="str">
        <x:v>MAN-02</x:v>
      </x:c>
      <x:c r="B16" s="16" t="n">
        <x:v>11</x:v>
      </x:c>
      <x:c r="C16" s="16" t="str">
        <x:v>Transação manual</x:v>
      </x:c>
      <x:c r="D16" s="16" t="str">
        <x:v>Média</x:v>
      </x:c>
      <x:c r="E16" s="16" t="str">
        <x:v>Editar uma das despesas para R$ 36,00 e depois restaurar R$ 35,00.</x:v>
      </x:c>
      <x:c r="F16" s="16" t="str">
        <x:v>Cadastro manual</x:v>
      </x:c>
      <x:c r="G16" s="16" t="str">
        <x:v>Somente a transação escolhida muda; saldo acompanha a edição e o retorno.</x:v>
      </x:c>
      <x:c r="H16" s="16" t="str">
        <x:v>Pendente</x:v>
      </x:c>
      <x:c r="I16" s="16" t="str"/>
    </x:row>
    <x:row r="17">
      <x:c r="A17" s="16" t="str">
        <x:v>IMP-01</x:v>
      </x:c>
      <x:c r="B17" s="16" t="n">
        <x:v>12</x:v>
      </x:c>
      <x:c r="C17" s="16" t="str">
        <x:v>Importação bancária</x:v>
      </x:c>
      <x:c r="D17" s="16" t="str">
        <x:v>Crítica</x:v>
      </x:c>
      <x:c r="E17" s="16" t="str">
        <x:v>Após GATE-01, importar o arquivo de mesmos valores.</x:v>
      </x:c>
      <x:c r="F17" s="16" t="str">
        <x:v>02_nubank_conta_mesmos_valores_agosto_2026.csv</x:v>
      </x:c>
      <x:c r="G17" s="16" t="str">
        <x:v>Todas as 5 linhas são importadas; valores iguais não causam falso bloqueio.</x:v>
      </x:c>
      <x:c r="H17" s="16" t="str">
        <x:v>Pendente</x:v>
      </x:c>
      <x:c r="I17" s="16" t="str"/>
    </x:row>
    <x:row r="18">
      <x:c r="A18" s="16" t="str">
        <x:v>MAP-01</x:v>
      </x:c>
      <x:c r="B18" s="16" t="n">
        <x:v>13</x:v>
      </x:c>
      <x:c r="C18" s="16" t="str">
        <x:v>Mapeamento</x:v>
      </x:c>
      <x:c r="D18" s="16" t="str">
        <x:v>Alta</x:v>
      </x:c>
      <x:c r="E18" s="16" t="str">
        <x:v>Mapear SUPERMERCADO e MERCADO para STG-QA Alimentação e reaplicar regras.</x:v>
      </x:c>
      <x:c r="F18" s="16" t="str">
        <x:v>Dados já importados</x:v>
      </x:c>
      <x:c r="G18" s="16" t="str">
        <x:v>Descrições distintas podem compartilhar categoria sem perder transações.</x:v>
      </x:c>
      <x:c r="H18" s="16" t="str">
        <x:v>Pendente</x:v>
      </x:c>
      <x:c r="I18" s="16" t="str"/>
    </x:row>
    <x:row r="19">
      <x:c r="A19" s="16" t="str">
        <x:v>DUP-01</x:v>
      </x:c>
      <x:c r="B19" s="16" t="n">
        <x:v>14</x:v>
      </x:c>
      <x:c r="C19" s="16" t="str">
        <x:v>Duplicidade</x:v>
      </x:c>
      <x:c r="D19" s="16" t="str">
        <x:v>Crítica</x:v>
      </x:c>
      <x:c r="E19" s="16" t="str">
        <x:v>Reimportar exatamente o arquivo 02 com o mesmo nome.</x:v>
      </x:c>
      <x:c r="F19" s="16" t="str">
        <x:v>02_nubank_conta_mesmos_valores_agosto_2026.csv</x:v>
      </x:c>
      <x:c r="G19" s="16" t="str">
        <x:v>Arquivo bloqueado; contagem de transações permanece inalterada.</x:v>
      </x:c>
      <x:c r="H19" s="16" t="str">
        <x:v>Pendente</x:v>
      </x:c>
      <x:c r="I19" s="16" t="str"/>
    </x:row>
    <x:row r="20">
      <x:c r="A20" s="16" t="str">
        <x:v>CARD-01</x:v>
      </x:c>
      <x:c r="B20" s="16" t="n">
        <x:v>15</x:v>
      </x:c>
      <x:c r="C20" s="16" t="str">
        <x:v>Cartão</x:v>
      </x:c>
      <x:c r="D20" s="16" t="str">
        <x:v>Crítica</x:v>
      </x:c>
      <x:c r="E20" s="16" t="str">
        <x:v>Importar a fatura XP de julho no cartão STG-QA.</x:v>
      </x:c>
      <x:c r="F20" s="16" t="str">
        <x:v>10_xp_cartao_fatura_julho_2026.csv</x:v>
      </x:c>
      <x:c r="G20" s="16" t="str">
        <x:v>5 linhas; compras R$ 449,90; estorno R$ 50,00; total da competência R$ 399,90.</x:v>
      </x:c>
      <x:c r="H20" s="16" t="str">
        <x:v>Pendente</x:v>
      </x:c>
      <x:c r="I20" s="16" t="str"/>
    </x:row>
    <x:row r="21">
      <x:c r="A21" s="16" t="str">
        <x:v>CARD-02</x:v>
      </x:c>
      <x:c r="B21" s="16" t="n">
        <x:v>16</x:v>
      </x:c>
      <x:c r="C21" s="16" t="str">
        <x:v>Cartão</x:v>
      </x:c>
      <x:c r="D21" s="16" t="str">
        <x:v>Crítica</x:v>
      </x:c>
      <x:c r="E21" s="16" t="str">
        <x:v>Importar a fatura XP de agosto no mesmo cartão.</x:v>
      </x:c>
      <x:c r="F21" s="16" t="str">
        <x:v>11_xp_cartao_fatura_agosto_2026.csv</x:v>
      </x:c>
      <x:c r="G21" s="16" t="str">
        <x:v>4 linhas; compras R$ 449,90; pagamento R$ 399,90 direcionado à competência anterior.</x:v>
      </x:c>
      <x:c r="H21" s="16" t="str">
        <x:v>Pendente</x:v>
      </x:c>
      <x:c r="I21" s="16" t="str"/>
    </x:row>
    <x:row r="22">
      <x:c r="A22" s="16" t="str">
        <x:v>CARD-03</x:v>
      </x:c>
      <x:c r="B22" s="16" t="n">
        <x:v>17</x:v>
      </x:c>
      <x:c r="C22" s="16" t="str">
        <x:v>Cartão</x:v>
      </x:c>
      <x:c r="D22" s="16" t="str">
        <x:v>Crítica</x:v>
      </x:c>
      <x:c r="E22" s="16" t="str">
        <x:v>Abrir histórico por competência e conferir julho/agosto.</x:v>
      </x:c>
      <x:c r="F22" s="16" t="str">
        <x:v>Dados CARD-01/02</x:v>
      </x:c>
      <x:c r="G22" s="16" t="str">
        <x:v>Julho quitado por R$ 399,90; agosto aberto em R$ 449,90; parcela 1/3 e 2/3 não se confundem.</x:v>
      </x:c>
      <x:c r="H22" s="16" t="str">
        <x:v>Pendente</x:v>
      </x:c>
      <x:c r="I22" s="16" t="str"/>
    </x:row>
    <x:row r="23">
      <x:c r="A23" s="16" t="str">
        <x:v>CARD-04</x:v>
      </x:c>
      <x:c r="B23" s="16" t="n">
        <x:v>18</x:v>
      </x:c>
      <x:c r="C23" s="16" t="str">
        <x:v>Cartão</x:v>
      </x:c>
      <x:c r="D23" s="16" t="str">
        <x:v>Alta</x:v>
      </x:c>
      <x:c r="E23" s="16" t="str">
        <x:v>Editar uma compra manual do cartão e recarregar a página.</x:v>
      </x:c>
      <x:c r="F23" s="16" t="str">
        <x:v>Cadastro manual</x:v>
      </x:c>
      <x:c r="G23" s="16" t="str">
        <x:v>Fatura recalcula uma única vez e persiste após novo login.</x:v>
      </x:c>
      <x:c r="H23" s="16" t="str">
        <x:v>Pendente</x:v>
      </x:c>
      <x:c r="I23" s="16" t="str"/>
    </x:row>
    <x:row r="24">
      <x:c r="A24" s="16" t="str">
        <x:v>ERR-01</x:v>
      </x:c>
      <x:c r="B24" s="16" t="n">
        <x:v>19</x:v>
      </x:c>
      <x:c r="C24" s="16" t="str">
        <x:v>Resiliência</x:v>
      </x:c>
      <x:c r="D24" s="16" t="str">
        <x:v>Alta</x:v>
      </x:c>
      <x:c r="E24" s="16" t="str">
        <x:v>Importar o arquivo com linhas inválidas e revisar a prévia antes de confirmar.</x:v>
      </x:c>
      <x:c r="F24" s="16" t="str">
        <x:v>91_nubank_conta_linhas_invalidas.csv</x:v>
      </x:c>
      <x:c r="G24" s="16" t="str">
        <x:v>Somente 2 linhas válidas; 3 inválidas são explicadas. Se a prévia divergir, cancelar e registrar falha.</x:v>
      </x:c>
      <x:c r="H24" s="16" t="str">
        <x:v>Falhou</x:v>
      </x:c>
      <x:c r="I24" s="16" t="str">
        <x:v>Baseline local: 3 linhas emitidas; valor-invalido virou NaN e somente 2 foram ignoradas.</x:v>
      </x:c>
    </x:row>
    <x:row r="25">
      <x:c r="A25" s="16" t="str">
        <x:v>DASH-01</x:v>
      </x:c>
      <x:c r="B25" s="16" t="n">
        <x:v>20</x:v>
      </x:c>
      <x:c r="C25" s="16" t="str">
        <x:v>Dashboard</x:v>
      </x:c>
      <x:c r="D25" s="16" t="str">
        <x:v>Alta</x:v>
      </x:c>
      <x:c r="E25" s="16" t="str">
        <x:v>Selecionar julho/2026 e confrontar cartões e gráficos com Dados esperados.</x:v>
      </x:c>
      <x:c r="F25" s="16" t="str">
        <x:v>Dados importados</x:v>
      </x:c>
      <x:c r="G25" s="16" t="str">
        <x:v>Totais conciliam sem misturar pagamento de fatura com despesa operacional.</x:v>
      </x:c>
      <x:c r="H25" s="16" t="str">
        <x:v>Pendente</x:v>
      </x:c>
      <x:c r="I25" s="16" t="str"/>
    </x:row>
    <x:row r="26">
      <x:c r="A26" s="16" t="str">
        <x:v>BUD-01</x:v>
      </x:c>
      <x:c r="B26" s="16" t="n">
        <x:v>21</x:v>
      </x:c>
      <x:c r="C26" s="16" t="str">
        <x:v>Orçamento</x:v>
      </x:c>
      <x:c r="D26" s="16" t="str">
        <x:v>Média</x:v>
      </x:c>
      <x:c r="E26" s="16" t="str">
        <x:v>Criar orçamento STG-QA Alimentação de R$ 250,00 para 2026.</x:v>
      </x:c>
      <x:c r="F26" s="16" t="str">
        <x:v>Cadastro manual</x:v>
      </x:c>
      <x:c r="G26" s="16" t="str">
        <x:v>Indicador reflete apenas despesas categorizadas do período selecionado.</x:v>
      </x:c>
      <x:c r="H26" s="16" t="str">
        <x:v>Pendente</x:v>
      </x:c>
      <x:c r="I26" s="16" t="str"/>
    </x:row>
    <x:row r="27">
      <x:c r="A27" s="16" t="str">
        <x:v>EXPORT-01</x:v>
      </x:c>
      <x:c r="B27" s="16" t="n">
        <x:v>22</x:v>
      </x:c>
      <x:c r="C27" s="16" t="str">
        <x:v>Exportação</x:v>
      </x:c>
      <x:c r="D27" s="16" t="str">
        <x:v>Média</x:v>
      </x:c>
      <x:c r="E27" s="16" t="str">
        <x:v>Exportar transações filtradas em CSV e Excel.</x:v>
      </x:c>
      <x:c r="F27" s="16" t="str">
        <x:v>Dados importados</x:v>
      </x:c>
      <x:c r="G27" s="16" t="str">
        <x:v>Arquivos abrem, contagens e valores conferem, sem dados de outro usuário.</x:v>
      </x:c>
      <x:c r="H27" s="16" t="str">
        <x:v>Pendente</x:v>
      </x:c>
      <x:c r="I27" s="16" t="str"/>
    </x:row>
    <x:row r="28">
      <x:c r="A28" s="16" t="str">
        <x:v>SESSION-01</x:v>
      </x:c>
      <x:c r="B28" s="16" t="n">
        <x:v>23</x:v>
      </x:c>
      <x:c r="C28" s="16" t="str">
        <x:v>Sessão</x:v>
      </x:c>
      <x:c r="D28" s="16" t="str">
        <x:v>Alta</x:v>
      </x:c>
      <x:c r="E28" s="16" t="str">
        <x:v>Sair, entrar novamente e recarregar a página.</x:v>
      </x:c>
      <x:c r="F28" s="16" t="str">
        <x:v>Conta demo</x:v>
      </x:c>
      <x:c r="G28" s="16" t="str">
        <x:v>Dados persistem e nenhuma informação de outra tentativa de cadastro aparece.</x:v>
      </x:c>
      <x:c r="H28" s="16" t="str">
        <x:v>Pendente</x:v>
      </x:c>
      <x:c r="I28" s="16" t="str"/>
    </x:row>
    <x:row r="29">
      <x:c r="A29" s="16" t="str">
        <x:v>RLS-01</x:v>
      </x:c>
      <x:c r="B29" s="16" t="n">
        <x:v>24</x:v>
      </x:c>
      <x:c r="C29" s="16" t="str">
        <x:v>Isolamento por usuário</x:v>
      </x:c>
      <x:c r="D29" s="16" t="str">
        <x:v>Crítica</x:v>
      </x:c>
      <x:c r="E29" s="16" t="str">
        <x:v>Entrar com a outra tentativa de cadastro e verificar dashboard/contas.</x:v>
      </x:c>
      <x:c r="F29" s="16" t="str">
        <x:v>Segundo usuário de staging</x:v>
      </x:c>
      <x:c r="G29" s="16" t="str">
        <x:v>Nenhuma conta, transação, categoria ou fatura do usuário principal aparece.</x:v>
      </x:c>
      <x:c r="H29" s="16" t="str">
        <x:v>Pendente</x:v>
      </x:c>
      <x:c r="I29" s="16" t="str"/>
    </x:row>
    <x:row r="30">
      <x:c r="A30" s="16" t="str">
        <x:v>MOBILE-01</x:v>
      </x:c>
      <x:c r="B30" s="16" t="n">
        <x:v>25</x:v>
      </x:c>
      <x:c r="C30" s="16" t="str">
        <x:v>Responsividade</x:v>
      </x:c>
      <x:c r="D30" s="16" t="str">
        <x:v>Média</x:v>
      </x:c>
      <x:c r="E30" s="16" t="str">
        <x:v>Repetir Dashboard, Transações e Importar em largura móvel.</x:v>
      </x:c>
      <x:c r="F30" s="16" t="str">
        <x:v>Sem arquivo</x:v>
      </x:c>
      <x:c r="G30" s="16" t="str">
        <x:v>Navegação utilizável; botões, valores e modais sem corte horizontal crítico.</x:v>
      </x:c>
      <x:c r="H30" s="16" t="str">
        <x:v>Pendente</x:v>
      </x:c>
      <x:c r="I30" s="16" t="str"/>
    </x:row>
    <x:row r="31">
      <x:c r="A31" s="16" t="str">
        <x:v>PWA-01</x:v>
      </x:c>
      <x:c r="B31" s="16" t="n">
        <x:v>26</x:v>
      </x:c>
      <x:c r="C31" s="16" t="str">
        <x:v>PWA</x:v>
      </x:c>
      <x:c r="D31" s="16" t="str">
        <x:v>Média</x:v>
      </x:c>
      <x:c r="E31" s="16" t="str">
        <x:v>Após carregamento online, simular offline e abrir apenas telas já armazenadas.</x:v>
      </x:c>
      <x:c r="F31" s="16" t="str">
        <x:v>Sem arquivo</x:v>
      </x:c>
      <x:c r="G31" s="16" t="str">
        <x:v>App abre sem tela branca; operações de escrita não afirmam sucesso sem rede.</x:v>
      </x:c>
      <x:c r="H31" s="16" t="str">
        <x:v>Pendente</x:v>
      </x:c>
      <x:c r="I31" s="16" t="str"/>
    </x:row>
    <x:row r="32">
      <x:c r="A32" s="16" t="str">
        <x:v>PERF-01</x:v>
      </x:c>
      <x:c r="B32" s="16" t="n">
        <x:v>27</x:v>
      </x:c>
      <x:c r="C32" s="16" t="str">
        <x:v>Estresse</x:v>
      </x:c>
      <x:c r="D32" s="16" t="str">
        <x:v>Alta</x:v>
      </x:c>
      <x:c r="E32" s="16" t="str">
        <x:v>Importar o lote de 1.000 linhas somente após backup do estado da conta demo.</x:v>
      </x:c>
      <x:c r="F32" s="16" t="str">
        <x:v>90_nubank_conta_stress_1000_linhas.csv</x:v>
      </x:c>
      <x:c r="G32" s="16" t="str">
        <x:v>1.000 linhas preservadas, inclusive repetições legítimas; sem travamento ou duplicação silenciosa.</x:v>
      </x:c>
      <x:c r="H32" s="16" t="str">
        <x:v>Pendente</x:v>
      </x:c>
      <x:c r="I32" s="16" t="str">
        <x:v>Executar perto do fim.</x:v>
      </x:c>
    </x:row>
    <x:row r="33">
      <x:c r="A33" s="16" t="str">
        <x:v>DUP-02</x:v>
      </x:c>
      <x:c r="B33" s="16" t="n">
        <x:v>28</x:v>
      </x:c>
      <x:c r="C33" s="16" t="str">
        <x:v>Duplicidade adversarial</x:v>
      </x:c>
      <x:c r="D33" s="16" t="str">
        <x:v>Crítica</x:v>
      </x:c>
      <x:c r="E33" s="16" t="str">
        <x:v>Importar a cópia renomeada do arquivo base somente no final.</x:v>
      </x:c>
      <x:c r="F33" s="16" t="str">
        <x:v>03_nubank_conta_base_julho_2026_RENOMEADO.csv</x:v>
      </x:c>
      <x:c r="G33" s="16" t="str">
        <x:v>Baseline atual pode duplicar: registrar comportamento e não levar os dados adiante. Melhoria futura deve bloquear por identidade segura.</x:v>
      </x:c>
      <x:c r="H33" s="16" t="str">
        <x:v>Pendente</x:v>
      </x:c>
      <x:c r="I33" s="16" t="str">
        <x:v>Teste conhecido como destrutivo apenas no staging.</x:v>
      </x:c>
    </x:row>
    <x:row r="34">
      <x:c r="A34" s="16" t="str">
        <x:v>STRIPE-01</x:v>
      </x:c>
      <x:c r="B34" s="16" t="n">
        <x:v>29</x:v>
      </x:c>
      <x:c r="C34" s="16" t="str">
        <x:v>Pagamentos</x:v>
      </x:c>
      <x:c r="D34" s="16" t="str">
        <x:v>Crítica</x:v>
      </x:c>
      <x:c r="E34" s="16" t="str">
        <x:v>Abrir planos no staging sem informar cartão nem concluir checkout.</x:v>
      </x:c>
      <x:c r="F34" s="16" t="str">
        <x:v>Sem arquivo</x:v>
      </x:c>
      <x:c r="G34" s="16" t="str">
        <x:v>Nenhuma cobrança real; ausência de segredo Stripe em Preview permanece protegendo o ambiente.</x:v>
      </x:c>
      <x:c r="H34" s="16" t="str">
        <x:v>Pendente</x:v>
      </x:c>
      <x:c r="I34" s="16" t="str"/>
    </x:row>
    <x:row r="35">
      <x:c r="A35" s="16" t="str">
        <x:v>ROLLBACK-01</x:v>
      </x:c>
      <x:c r="B35" s="16" t="n">
        <x:v>30</x:v>
      </x:c>
      <x:c r="C35" s="16" t="str">
        <x:v>Retorno</x:v>
      </x:c>
      <x:c r="D35" s="16" t="str">
        <x:v>Crítica</x:v>
      </x:c>
      <x:c r="E35" s="16" t="str">
        <x:v>Executar limpeza apenas da conta demo, após relatório de contagens e aprovação.</x:v>
      </x:c>
      <x:c r="F35" s="16" t="str">
        <x:v>Prefixo STG-QA</x:v>
      </x:c>
      <x:c r="G35" s="16" t="str">
        <x:v>Dados sintéticos removidos ou conta preservada conforme decisão; produção inalterada.</x:v>
      </x:c>
      <x:c r="H35" s="16" t="str">
        <x:v>Pendente</x:v>
      </x:c>
      <x:c r="I35" s="16" t="str">
        <x:v>Não excluir usuário Auth automaticamente.</x:v>
      </x:c>
    </x:row>
  </x:sheetData>
  <x:mergeCells>
    <x:mergeCell ref="A1:I2"/>
    <x:mergeCell ref="A3:I3"/>
  </x:mergeCells>
  <x:conditionalFormatting sqref="H6:H35">
    <x:cfRule type="containsText" dxfId="0" priority="1" operator="containsText" text="Aprovado"/>
    <x:cfRule type="containsText" dxfId="1" priority="2" operator="containsText" text="Falhou"/>
    <x:cfRule type="containsText" dxfId="2" priority="3" operator="containsText" text="Bloqueado"/>
  </x:conditionalFormatting>
  <x:dataValidations count="1">
    <x:dataValidation type="list" sqref="H6:H35">
      <x:formula1>"Pendente,Aprovado,Falhou,Bloqueado"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bf64ee03148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52" hidden="0" customWidth="1"/>
  </x:cols>
  <x:sheetData>
    <x:row r="1">
      <x:c r="A1" s="22" t="str">
        <x:v>Dados esperados e reconciliações</x:v>
      </x:c>
      <x:c r="B1" s="22"/>
      <x:c r="C1" s="22"/>
      <x:c r="D1" s="22"/>
      <x:c r="E1" s="22"/>
      <x:c r="F1" s="22"/>
      <x:c r="G1" s="22"/>
      <x:c r="H1" s="22"/>
      <x:c r="I1" s="22"/>
      <x:c r="J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</x:row>
    <x:row r="4">
      <x:c r="A4" s="19" t="str">
        <x:v>Arquivo</x:v>
      </x:c>
      <x:c r="B4" s="19" t="str">
        <x:v>Linhas válidas</x:v>
      </x:c>
      <x:c r="C4" s="19" t="str">
        <x:v>Receitas/créditos</x:v>
      </x:c>
      <x:c r="D4" s="19" t="str">
        <x:v>Despesas/compras</x:v>
      </x:c>
      <x:c r="E4" s="19" t="str">
        <x:v>Estornos</x:v>
      </x:c>
      <x:c r="F4" s="19" t="str">
        <x:v>Pagamentos</x:v>
      </x:c>
      <x:c r="G4" s="19" t="str">
        <x:v>Líquido caixa</x:v>
      </x:c>
      <x:c r="H4" s="19" t="str">
        <x:v>Total fatura</x:v>
      </x:c>
      <x:c r="I4" s="19" t="str">
        <x:v>Uso</x:v>
      </x:c>
      <x:c r="J4" s="19" t="str">
        <x:v>Observação</x:v>
      </x:c>
    </x:row>
    <x:row r="5">
      <x:c r="A5" s="16" t="str">
        <x:v>01_nubank_conta_base_julho_2026.csv</x:v>
      </x:c>
      <x:c r="B5" s="16" t="n">
        <x:v>10</x:v>
      </x:c>
      <x:c r="C5" s="26" t="n">
        <x:v>5450</x:v>
      </x:c>
      <x:c r="D5" s="26" t="n">
        <x:v>2044.6</x:v>
      </x:c>
      <x:c r="E5" s="26" t="n">
        <x:v>0</x:v>
      </x:c>
      <x:c r="F5" s="26" t="n">
        <x:v>0</x:v>
      </x:c>
      <x:c r="G5" s="26" t="n">
        <x:f>C5-D5+E5</x:f>
        <x:v>3405.4</x:v>
      </x:c>
      <x:c r="H5" s="26" t="n">
        <x:v>0</x:v>
      </x:c>
      <x:c r="I5" s="16" t="str">
        <x:v>Conta corrente</x:v>
      </x:c>
      <x:c r="J5" s="16" t="str">
        <x:v>Dois supermercados iguais em datas distintas são legítimos.</x:v>
      </x:c>
    </x:row>
    <x:row r="6">
      <x:c r="A6" s="16" t="str">
        <x:v>02_nubank_conta_mesmos_valores_agosto_2026.csv</x:v>
      </x:c>
      <x:c r="B6" s="16" t="n">
        <x:v>5</x:v>
      </x:c>
      <x:c r="C6" s="26" t="n">
        <x:v>250</x:v>
      </x:c>
      <x:c r="D6" s="26" t="n">
        <x:v>339.8</x:v>
      </x:c>
      <x:c r="E6" s="26" t="n">
        <x:v>0</x:v>
      </x:c>
      <x:c r="F6" s="26" t="n">
        <x:v>0</x:v>
      </x:c>
      <x:c r="G6" s="26" t="n">
        <x:f>C6-D6+E6</x:f>
        <x:v>-89.80000000000001</x:v>
      </x:c>
      <x:c r="H6" s="26" t="n">
        <x:v>0</x:v>
      </x:c>
      <x:c r="I6" s="16" t="str">
        <x:v>Falso positivo</x:v>
      </x:c>
      <x:c r="J6" s="16" t="str">
        <x:v>Valores iguais e descrições mapeáveis não significam duplicidade.</x:v>
      </x:c>
    </x:row>
    <x:row r="7">
      <x:c r="A7" s="16" t="str">
        <x:v>03_nubank_conta_base_julho_2026_RENOMEADO.csv</x:v>
      </x:c>
      <x:c r="B7" s="16" t="n">
        <x:v>10</x:v>
      </x:c>
      <x:c r="C7" s="26" t="n">
        <x:v>5450</x:v>
      </x:c>
      <x:c r="D7" s="26" t="n">
        <x:v>2044.6</x:v>
      </x:c>
      <x:c r="E7" s="26" t="n">
        <x:v>0</x:v>
      </x:c>
      <x:c r="F7" s="26" t="n">
        <x:v>0</x:v>
      </x:c>
      <x:c r="G7" s="26" t="n">
        <x:f>C7-D7+E7</x:f>
        <x:v>3405.4</x:v>
      </x:c>
      <x:c r="H7" s="26" t="n">
        <x:v>0</x:v>
      </x:c>
      <x:c r="I7" s="16" t="str">
        <x:v>Ataque por renomeação</x:v>
      </x:c>
      <x:c r="J7" s="16" t="str">
        <x:v>Mesmo conteúdo do arquivo 01; executar apenas no fim.</x:v>
      </x:c>
    </x:row>
    <x:row r="8">
      <x:c r="A8" s="16" t="str">
        <x:v>10_xp_cartao_fatura_julho_2026.csv</x:v>
      </x:c>
      <x:c r="B8" s="16" t="n">
        <x:v>5</x:v>
      </x:c>
      <x:c r="C8" s="26" t="n">
        <x:v>0</x:v>
      </x:c>
      <x:c r="D8" s="26" t="n">
        <x:v>449.9</x:v>
      </x:c>
      <x:c r="E8" s="26" t="n">
        <x:v>50</x:v>
      </x:c>
      <x:c r="F8" s="26" t="n">
        <x:v>400</x:v>
      </x:c>
      <x:c r="G8" s="26" t="n">
        <x:f>C8-D8+E8+F8</x:f>
        <x:v>0.10000000000002274</x:v>
      </x:c>
      <x:c r="H8" s="26" t="n">
        <x:f>D8-E8</x:f>
        <x:v>399.9</x:v>
      </x:c>
      <x:c r="I8" s="16" t="str">
        <x:v>Cartão N</x:v>
      </x:c>
      <x:c r="J8" s="16" t="str">
        <x:v>Pagamento no arquivo pode liquidar competência anterior.</x:v>
      </x:c>
    </x:row>
    <x:row r="9">
      <x:c r="A9" s="16" t="str">
        <x:v>11_xp_cartao_fatura_agosto_2026.csv</x:v>
      </x:c>
      <x:c r="B9" s="16" t="n">
        <x:v>4</x:v>
      </x:c>
      <x:c r="C9" s="26" t="n">
        <x:v>0</x:v>
      </x:c>
      <x:c r="D9" s="26" t="n">
        <x:v>449.9</x:v>
      </x:c>
      <x:c r="E9" s="26" t="n">
        <x:v>0</x:v>
      </x:c>
      <x:c r="F9" s="26" t="n">
        <x:v>399.9</x:v>
      </x:c>
      <x:c r="G9" s="26" t="n">
        <x:f>C9-D9+E9+F9</x:f>
        <x:v>-50</x:v>
      </x:c>
      <x:c r="H9" s="26" t="n">
        <x:f>D9-E9</x:f>
        <x:v>449.9</x:v>
      </x:c>
      <x:c r="I9" s="16" t="str">
        <x:v>Cartão N+1</x:v>
      </x:c>
      <x:c r="J9" s="16" t="str">
        <x:v>Pagamento de R$ 399,90 deve quitar julho.</x:v>
      </x:c>
    </x:row>
    <x:row r="10">
      <x:c r="A10" s="16" t="str">
        <x:v>90_nubank_conta_stress_1000_linhas.csv</x:v>
      </x:c>
      <x:c r="B10" s="16" t="n">
        <x:v>1000</x:v>
      </x:c>
      <x:c r="C10" s="26" t="n">
        <x:v>100000</x:v>
      </x:c>
      <x:c r="D10" s="26" t="n">
        <x:v>9000</x:v>
      </x:c>
      <x:c r="E10" s="26" t="n">
        <x:v>0</x:v>
      </x:c>
      <x:c r="F10" s="26" t="n">
        <x:v>0</x:v>
      </x:c>
      <x:c r="G10" s="26" t="n">
        <x:f>C10-D10+E10</x:f>
        <x:v>91000</x:v>
      </x:c>
      <x:c r="H10" s="26" t="n">
        <x:v>0</x:v>
      </x:c>
      <x:c r="I10" s="16" t="str">
        <x:v>Estresse</x:v>
      </x:c>
      <x:c r="J10" s="16" t="str">
        <x:v>900 despesas repetidas são legítimas; identificadores são únicos.</x:v>
      </x:c>
    </x:row>
    <x:row r="11">
      <x:c r="A11" s="16" t="str">
        <x:v>91_nubank_conta_linhas_invalidas.csv</x:v>
      </x:c>
      <x:c r="B11" s="16" t="n">
        <x:v>2</x:v>
      </x:c>
      <x:c r="C11" s="26" t="n">
        <x:v>15</x:v>
      </x:c>
      <x:c r="D11" s="26" t="n">
        <x:v>10</x:v>
      </x:c>
      <x:c r="E11" s="26" t="n">
        <x:v>0</x:v>
      </x:c>
      <x:c r="F11" s="26" t="n">
        <x:v>0</x:v>
      </x:c>
      <x:c r="G11" s="26" t="n">
        <x:f>C11-D11+E11</x:f>
        <x:v>5</x:v>
      </x:c>
      <x:c r="H11" s="26" t="n">
        <x:v>0</x:v>
      </x:c>
      <x:c r="I11" s="16" t="str">
        <x:v>Erro controlado</x:v>
      </x:c>
      <x:c r="J11" s="16" t="str">
        <x:v>Desejado: 2 aceitas. Baseline: 3 emitidas; valor-invalido vira NaN (defeito conhecido).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be6fec96d72243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4" hidden="0" customWidth="1"/>
    <x:col min="4" max="4" width="48" hidden="0" customWidth="1"/>
    <x:col min="5" max="5" width="50" hidden="0" customWidth="1"/>
    <x:col min="6" max="6" width="22" hidden="0" customWidth="1"/>
  </x:cols>
  <x:sheetData>
    <x:row r="1">
      <x:c r="A1" s="22" t="str">
        <x:v>Riscos, portões e retorno ao estado anterior</x:v>
      </x:c>
      <x:c r="B1" s="22"/>
      <x:c r="C1" s="22"/>
      <x:c r="D1" s="22"/>
      <x:c r="E1" s="22"/>
      <x:c r="F1" s="22"/>
    </x:row>
    <x:row r="2">
      <x:c r="A2" s="22"/>
      <x:c r="B2" s="22"/>
      <x:c r="C2" s="22"/>
      <x:c r="D2" s="22"/>
      <x:c r="E2" s="22"/>
      <x:c r="F2" s="22"/>
    </x:row>
    <x:row r="4">
      <x:c r="A4" s="19" t="str">
        <x:v>Risco</x:v>
      </x:c>
      <x:c r="B4" s="19" t="str">
        <x:v>Severidade</x:v>
      </x:c>
      <x:c r="C4" s="19" t="str">
        <x:v>Sinal de parada</x:v>
      </x:c>
      <x:c r="D4" s="19" t="str">
        <x:v>Proteção</x:v>
      </x:c>
      <x:c r="E4" s="19" t="str">
        <x:v>Rollback</x:v>
      </x:c>
      <x:c r="F4" s="19" t="str">
        <x:v>Aprovação necessária</x:v>
      </x:c>
    </x:row>
    <x:row r="5">
      <x:c r="A5" s="16" t="str">
        <x:v>Contaminação da produção</x:v>
      </x:c>
      <x:c r="B5" s="16" t="str">
        <x:v>Crítica</x:v>
      </x:c>
      <x:c r="C5" s="16" t="str">
        <x:v>URL/ref de produção em qualquer tela ou bundle</x:v>
      </x:c>
      <x:c r="D5" s="16" t="str">
        <x:v>Alias de staging + Supabase sxmm... + prefixo STG-QA</x:v>
      </x:c>
      <x:c r="E5" s="16" t="str">
        <x:v>Parar sem salvar; nenhuma ação na produção</x:v>
      </x:c>
      <x:c r="F5" s="16" t="str">
        <x:v>Sempre</x:v>
      </x:c>
    </x:row>
    <x:row r="6">
      <x:c r="A6" s="16" t="str">
        <x:v>Exclusão do usuário errado</x:v>
      </x:c>
      <x:c r="B6" s="16" t="str">
        <x:v>Crítica</x:v>
      </x:c>
      <x:c r="C6" s="16" t="str">
        <x:v>user_id não conciliado com a sessão testada</x:v>
      </x:c>
      <x:c r="D6" s="16" t="str">
        <x:v>Contagem por tabela e confirmação do e-mail apenas no painel</x:v>
      </x:c>
      <x:c r="E6" s="16" t="str">
        <x:v>Não excluir Auth; limpar somente dados com user_id exato</x:v>
      </x:c>
      <x:c r="F6" s="16" t="str">
        <x:v>Sempre</x:v>
      </x:c>
    </x:row>
    <x:row r="7">
      <x:c r="A7" s="16" t="str">
        <x:v>Falso positivo de duplicidade</x:v>
      </x:c>
      <x:c r="B7" s="16" t="str">
        <x:v>Alta</x:v>
      </x:c>
      <x:c r="C7" s="16" t="str">
        <x:v>Linha legítima marcada como duplicada</x:v>
      </x:c>
      <x:c r="D7" s="16" t="str">
        <x:v>Arquivos 01/02 e identificadores únicos</x:v>
      </x:c>
      <x:c r="E7" s="16" t="str">
        <x:v>Cancelar importação e preservar evidência</x:v>
      </x:c>
      <x:c r="F7" s="16" t="str">
        <x:v>Antes de correção</x:v>
      </x:c>
    </x:row>
    <x:row r="8">
      <x:c r="A8" s="16" t="str">
        <x:v>Duplicação por arquivo renomeado</x:v>
      </x:c>
      <x:c r="B8" s="16" t="str">
        <x:v>Alta</x:v>
      </x:c>
      <x:c r="C8" s="16" t="str">
        <x:v>Arquivo 03 adiciona novamente as 10 linhas</x:v>
      </x:c>
      <x:c r="D8" s="16" t="str">
        <x:v>Executar por último, somente no staging</x:v>
      </x:c>
      <x:c r="E8" s="16" t="str">
        <x:v>Excluir lote pela Origem/log após contagem</x:v>
      </x:c>
      <x:c r="F8" s="16" t="str">
        <x:v>Antes de executar</x:v>
      </x:c>
    </x:row>
    <x:row r="9">
      <x:c r="A9" s="16" t="str">
        <x:v>Regressão de cartão</x:v>
      </x:c>
      <x:c r="B9" s="16" t="str">
        <x:v>Crítica</x:v>
      </x:c>
      <x:c r="C9" s="16" t="str">
        <x:v>Julho/agosto, parcelas ou pagamentos não conciliam</x:v>
      </x:c>
      <x:c r="D9" s="16" t="str">
        <x:v>Importar N e N+1 em ordem e comparar totais</x:v>
      </x:c>
      <x:c r="E9" s="16" t="str">
        <x:v>Remover lotes de cartão da conta demo; não reprocessar produção</x:v>
      </x:c>
      <x:c r="F9" s="16" t="str">
        <x:v>Sempre</x:v>
      </x:c>
    </x:row>
    <x:row r="10">
      <x:c r="A10" s="16" t="str">
        <x:v>Teste de carga degrada a sessão</x:v>
      </x:c>
      <x:c r="B10" s="16" t="str">
        <x:v>Alta</x:v>
      </x:c>
      <x:c r="C10" s="16" t="str">
        <x:v>Travamento, timeout ou contagem parcial</x:v>
      </x:c>
      <x:c r="D10" s="16" t="str">
        <x:v>Backup lógico da conta demo e arquivo de 1.000 linhas</x:v>
      </x:c>
      <x:c r="E10" s="16" t="str">
        <x:v>Remover lote de estresse pelo log/origem</x:v>
      </x:c>
      <x:c r="F10" s="16" t="str">
        <x:v>Antes de executar</x:v>
      </x:c>
    </x:row>
    <x:row r="11">
      <x:c r="A11" s="16" t="str">
        <x:v>Valor textual vira NaN</x:v>
      </x:c>
      <x:c r="B11" s="16" t="str">
        <x:v>Alta</x:v>
      </x:c>
      <x:c r="C11" s="16" t="str">
        <x:v>Prévia mostra linha STG-QA VALOR INVALIDO</x:v>
      </x:c>
      <x:c r="D11" s="16" t="str">
        <x:v>Cancelar sem confirmar e preservar a evidência</x:v>
      </x:c>
      <x:c r="E11" s="16" t="str">
        <x:v>Nenhuma linha do arquivo inválido deve ser salva</x:v>
      </x:c>
      <x:c r="F11" s="16" t="str">
        <x:v>Antes de corrigir</x:v>
      </x:c>
    </x:row>
    <x:row r="12">
      <x:c r="A12" s="17" t="str">
        <x:v>Sequência segura de rollback da conta demo (não executar automaticamente)</x:v>
      </x:c>
      <x:c r="B12" s="17"/>
      <x:c r="C12" s="17"/>
      <x:c r="D12" s="17"/>
      <x:c r="E12" s="17"/>
      <x:c r="F12" s="17"/>
    </x:row>
    <x:row r="13" ht="34" customHeight="1">
      <x:c r="A13" s="30" t="n">
        <x:v>1</x:v>
      </x:c>
      <x:c r="B13" s="16" t="str">
        <x:v>Interromper novos testes e registrar o último caso executado.</x:v>
      </x:c>
      <x:c r="C13" s="16"/>
      <x:c r="D13" s="16"/>
      <x:c r="E13" s="16"/>
      <x:c r="F13" s="16"/>
    </x:row>
    <x:row r="14" ht="34" customHeight="1">
      <x:c r="A14" s="30" t="n">
        <x:v>2</x:v>
      </x:c>
      <x:c r="B14" s="16" t="str">
        <x:v>Confirmar projeto sxmmrnwbxntccscojmfh e usuário autenticado.</x:v>
      </x:c>
      <x:c r="C14" s="16"/>
      <x:c r="D14" s="16"/>
      <x:c r="E14" s="16"/>
      <x:c r="F14" s="16"/>
    </x:row>
    <x:row r="15" ht="34" customHeight="1">
      <x:c r="A15" s="30" t="n">
        <x:v>3</x:v>
      </x:c>
      <x:c r="B15" s="16" t="str">
        <x:v>Levantar contagens por tabela para o user_id da conta demo.</x:v>
      </x:c>
      <x:c r="C15" s="16"/>
      <x:c r="D15" s="16"/>
      <x:c r="E15" s="16"/>
      <x:c r="F15" s="16"/>
    </x:row>
    <x:row r="16" ht="34" customHeight="1">
      <x:c r="A16" s="30" t="n">
        <x:v>4</x:v>
      </x:c>
      <x:c r="B16" s="16" t="str">
        <x:v>Exportar evidências e, se necessário, um backup lógico somente da conta demo.</x:v>
      </x:c>
      <x:c r="C16" s="16"/>
      <x:c r="D16" s="16"/>
      <x:c r="E16" s="16"/>
      <x:c r="F16" s="16"/>
    </x:row>
    <x:row r="17" ht="34" customHeight="1">
      <x:c r="A17" s="30" t="n">
        <x:v>5</x:v>
      </x:c>
      <x:c r="B17" s="16" t="str">
        <x:v>Apresentar exatamente quais linhas/lotes serão removidos e pedir aprovação.</x:v>
      </x:c>
      <x:c r="C17" s="16"/>
      <x:c r="D17" s="16"/>
      <x:c r="E17" s="16"/>
      <x:c r="F17" s="16"/>
    </x:row>
    <x:row r="18" ht="34" customHeight="1">
      <x:c r="A18" s="30" t="n">
        <x:v>6</x:v>
      </x:c>
      <x:c r="B18" s="16" t="str">
        <x:v>Excluir dados em transação e na ordem das dependências; não excluir Auth automaticamente.</x:v>
      </x:c>
      <x:c r="C18" s="16"/>
      <x:c r="D18" s="16"/>
      <x:c r="E18" s="16"/>
      <x:c r="F18" s="16"/>
    </x:row>
    <x:row r="19" ht="34" customHeight="1">
      <x:c r="A19" s="30" t="n">
        <x:v>7</x:v>
      </x:c>
      <x:c r="B19" s="16" t="str">
        <x:v>Recontar tabelas e validar login, dashboard e RLS.</x:v>
      </x:c>
      <x:c r="C19" s="16"/>
      <x:c r="D19" s="16"/>
      <x:c r="E19" s="16"/>
      <x:c r="F19" s="16"/>
    </x:row>
    <x:row r="20" ht="34" customHeight="1">
      <x:c r="A20" s="30" t="n">
        <x:v>8</x:v>
      </x:c>
      <x:c r="B20" s="16" t="str">
        <x:v>Se a liberação de plano foi criada, restaurar o estado Basic da conta demo.</x:v>
      </x:c>
      <x:c r="C20" s="16"/>
      <x:c r="D20" s="16"/>
      <x:c r="E20" s="16"/>
      <x:c r="F20" s="16"/>
    </x:row>
  </x:sheetData>
  <x:mergeCells>
    <x:mergeCell ref="A1:F2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  <x:tableParts count="1">
    <x:tablePart xmlns:r="http://schemas.openxmlformats.org/officeDocument/2006/relationships" r:id="R3d9139d9b9334f80"/>
  </x:tableParts>
</x:worksheet>
</file>